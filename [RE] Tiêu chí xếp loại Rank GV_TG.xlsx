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ấp bậc (Rank)" sheetId="2" r:id="rId5"/>
    <sheet name="Khung năng lực GV-TG" sheetId="3" r:id="rId6"/>
    <sheet name="Chỉ số đo lường" sheetId="4" r:id="rId7"/>
    <sheet name="Kết quả lớp học" sheetId="5" r:id="rId8"/>
    <sheet name="Nghiệp vụ sư phạm" sheetId="6" r:id="rId9"/>
    <sheet name="Chuyên môn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3" a="true"/>
  <c r="H17" i="3" a="true"/>
  <c r="H9" i="3" a="true"/>
  <c r="H13" i="3" a="true"/>
  <c r="H3" i="3" a="true"/>
  <c r="H7" i="3" a="true"/>
  <c r="H11" i="3" a="true"/>
  <c r="H15" i="3" a="true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<sst xmlns="http://schemas.openxmlformats.org/spreadsheetml/2006/main" count="167" uniqueCount="167">
  <si>
    <t xml:space="preserve">  </t>
  </si>
  <si>
    <t xml:space="preserve">Trợ giảng</t>
  </si>
  <si>
    <t xml:space="preserve">Giảng viên</t>
  </si>
  <si>
    <t xml:space="preserve">Rank 1</t>
  </si>
  <si>
    <t xml:space="preserve">Rank 2</t>
  </si>
  <si>
    <t xml:space="preserve">Rank 3</t>
  </si>
  <si>
    <t xml:space="preserve">Rank 4</t>
  </si>
  <si>
    <t xml:space="preserve">Rank 5</t>
  </si>
  <si>
    <t xml:space="preserve">Rank 6</t>
  </si>
  <si>
    <t xml:space="preserve">Rank 7</t>
  </si>
  <si>
    <t xml:space="preserve">Rank 8</t>
  </si>
  <si>
    <t/>
    <r>
      <rPr>
        <b val="true"/>
        <i val="false"/>
        <strike val="false"/>
        <sz val="10"/>
        <color/>
      </rPr>
      <t xml:space="preserve">TTS Trợ giảng
</t>
    </r>
    <r>
      <rPr>
        <b val="false"/>
        <i val="false"/>
        <strike val="false"/>
        <sz val="10"/>
        <color/>
      </rPr>
      <t xml:space="preserve">(Fresher TA)</t>
    </r>
  </si>
  <si>
    <t/>
    <r>
      <rPr>
        <b val="true"/>
        <i val="false"/>
        <strike val="false"/>
        <sz val="10"/>
        <color/>
      </rPr>
      <t xml:space="preserve">Giảng viên tập sự
</t>
    </r>
    <r>
      <rPr>
        <b val="false"/>
        <i val="false"/>
        <strike val="false"/>
        <sz val="10"/>
        <color/>
      </rPr>
      <t xml:space="preserve">(Fresher Teacher)</t>
    </r>
  </si>
  <si>
    <t/>
    <r>
      <rPr>
        <b val="true"/>
        <i val="false"/>
        <strike val="false"/>
        <sz val="10"/>
        <color/>
      </rPr>
      <t xml:space="preserve">Giảng viên
</t>
    </r>
    <r>
      <rPr>
        <b val="false"/>
        <i val="false"/>
        <strike val="false"/>
        <sz val="10"/>
        <color/>
      </rPr>
      <t xml:space="preserve">(PM sản phẩm)</t>
    </r>
  </si>
  <si>
    <t/>
    <r>
      <rPr>
        <b val="true"/>
        <i val="false"/>
        <strike val="false"/>
        <sz val="10"/>
        <color/>
      </rPr>
      <t xml:space="preserve">Giảng viên
</t>
    </r>
    <r>
      <rPr>
        <b val="false"/>
        <i val="false"/>
        <strike val="false"/>
        <sz val="10"/>
        <color/>
      </rPr>
      <t xml:space="preserve">(PM + Leader)</t>
    </r>
  </si>
  <si>
    <t xml:space="preserve">Giảng viên có thương hiệu</t>
  </si>
  <si>
    <t xml:space="preserve">Rank</t>
  </si>
  <si>
    <t xml:space="preserve">Vai trò</t>
  </si>
  <si>
    <t xml:space="preserve">Mô tả</t>
  </si>
  <si>
    <t xml:space="preserve">Nhiệm vụ</t>
  </si>
  <si>
    <t xml:space="preserve">Mức lương</t>
  </si>
  <si>
    <t xml:space="preserve">Tổng thu nhập</t>
  </si>
  <si>
    <t xml:space="preserve">P1</t>
  </si>
  <si>
    <t xml:space="preserve">P2</t>
  </si>
  <si>
    <t xml:space="preserve">P3</t>
  </si>
  <si>
    <t xml:space="preserve">Mức sàn</t>
  </si>
  <si>
    <t xml:space="preserve">Mức cao nhất</t>
  </si>
  <si>
    <t xml:space="preserve">Rank 1</t>
  </si>
  <si>
    <t xml:space="preserve">TTS Trợ giảng</t>
  </si>
  <si>
    <t xml:space="preserve">- Không có/chưa có nhiều nghiệp vụ đào tạo học viên
- Đang trong giao đoạn thử việc TTS trợ giảng
- Có chuyên môn tốt về một số môn chuyên ngành nhất định (CNTT - QTKDs)</t>
  </si>
  <si>
    <t/>
    <r>
      <rPr>
        <b val="true"/>
        <i val="false"/>
        <strike val="false"/>
        <sz val="10"/>
        <color rgb="FF000000"/>
      </rPr>
      <t xml:space="preserve">- Thử việc, học quy trình đào tạo và làm việc của Trợ giảng tại Rikkei Education
</t>
    </r>
    <r>
      <rPr>
        <b val="false"/>
        <i val="false"/>
        <strike val="false"/>
        <sz val="10"/>
        <color rgb="FF000000"/>
      </rPr>
      <t xml:space="preserve">- Hỗ trợ vận hành, quản lý lớp học
- Hỗ trợ giảng viên sản xuất tài nguyên học tập:
</t>
    </r>
    <r>
      <rPr>
        <b val="false"/>
        <i val="true"/>
        <strike val="false"/>
        <sz val="10"/>
        <color rgb="FF000000"/>
      </rPr>
      <t xml:space="preserve">- Bài tập về nhà
- Bài đọc
- Quizz (Lesson, Session)
</t>
    </r>
    <r>
      <rPr>
        <b val="false"/>
        <i val="false"/>
        <strike val="false"/>
        <sz val="10"/>
        <color rgb="FF000000"/>
      </rPr>
      <t xml:space="preserve">- Hỗ trợ các nhiệm vụ đào tạo được giảng viên trực tiếp hướng dẫn giao</t>
    </r>
  </si>
  <si>
    <t xml:space="preserve">Kỳ luật, thái độ</t>
  </si>
  <si>
    <t xml:space="preserve">Rank 2</t>
  </si>
  <si>
    <t xml:space="preserve">Trợ giảng cứng</t>
  </si>
  <si>
    <t/>
    <r>
      <rPr>
        <b val="false"/>
        <i val="false"/>
        <strike val="false"/>
        <sz val="10"/>
        <color rgb="FF000000"/>
      </rPr>
      <t xml:space="preserve">- Nắm được quy trình đào tạo của Rikkei Education
- Nắm được quy trình làm việc của GV/TG tại Rikkei Education
- Có chuyên môn tốt về một số môn chuyên ngành nhất định (CNTT - QTKDs)
</t>
    </r>
    <r>
      <rPr>
        <b val="true"/>
        <i val="false"/>
        <strike val="false"/>
        <sz val="10"/>
        <color rgb="FF000000"/>
      </rPr>
      <t xml:space="preserve">- Phát triển lên từ trợ giảng Rank 1</t>
    </r>
  </si>
  <si>
    <t/>
    <r>
      <rPr>
        <b val="false"/>
        <i val="false"/>
        <strike val="false"/>
        <sz val="10"/>
        <color rgb="FF000000"/>
      </rPr>
      <t xml:space="preserve">- Hỗ trợ vận hành, quản lý lớp học
- Hỗ trợ giảng viên sản xuất tài nguyên học tập:
- </t>
    </r>
    <r>
      <rPr>
        <b val="false"/>
        <i val="true"/>
        <strike val="false"/>
        <sz val="10"/>
        <color rgb="FF000000"/>
      </rPr>
      <t xml:space="preserve">Bài tập về nhà
- Bài đọc
- Quizz (Lesson, Session)
</t>
    </r>
    <r>
      <rPr>
        <b val="false"/>
        <i val="false"/>
        <strike val="false"/>
        <sz val="10"/>
        <color rgb="FF000000"/>
      </rPr>
      <t xml:space="preserve">- Hỗ trợ các nhiệm vụ đào tạo được giảng viên trực tiếp hướng dẫn giao
- Triển khai các buổi thực hành hướng dẫn sinh viên mini project
- Tham gia 20% thời gian phát triển phần mềm cùng Rikasoft</t>
    </r>
  </si>
  <si>
    <t xml:space="preserve">Rank 3</t>
  </si>
  <si>
    <t xml:space="preserve">Giảng viên tập sự</t>
  </si>
  <si>
    <t/>
    <r>
      <rPr>
        <b val="false"/>
        <i val="false"/>
        <strike val="false"/>
        <sz val="10"/>
        <color rgb="FF000000"/>
      </rPr>
      <t xml:space="preserve">- Có chuyên môn tốt về một số chuyên ngành nhất định (CNTT - QTKDs)
- Có kinh nghiệm giảng dạy, kỹ năng sư phạm (1 năm)
</t>
    </r>
    <r>
      <rPr>
        <b val="true"/>
        <i val="false"/>
        <strike val="false"/>
        <sz val="10"/>
        <color rgb="FF000000"/>
      </rPr>
      <t xml:space="preserve">- Phát triển từ trợ giảng Rank 2</t>
    </r>
  </si>
  <si>
    <t/>
    <r>
      <rPr>
        <b val="true"/>
        <i val="false"/>
        <strike val="false"/>
        <sz val="10"/>
        <color rgb="FF000000"/>
      </rPr>
      <t xml:space="preserve">- Thử việc, học quy trình đào tạo và làm việc của Giảng viên tại Rikkei Education
- Vận hành, quản lý ít nhất 1 lớp học
</t>
    </r>
    <r>
      <rPr>
        <b val="false"/>
        <i val="false"/>
        <strike val="false"/>
        <sz val="10"/>
        <color rgb="FF000000"/>
      </rPr>
      <t xml:space="preserve">- Sản xuất các tài nguyên học tập của môn học được giao
</t>
    </r>
    <r>
      <rPr>
        <b val="false"/>
        <i val="true"/>
        <strike val="false"/>
        <sz val="10"/>
        <color rgb="FF000000"/>
      </rPr>
      <t xml:space="preserve">- Slide/Video bài giảng
- Mindmap tổng hợp
- Bài tập tổng hợp
</t>
    </r>
    <r>
      <rPr>
        <b val="false"/>
        <i val="false"/>
        <strike val="false"/>
        <sz val="10"/>
        <color rgb="FF000000"/>
      </rPr>
      <t xml:space="preserve">- Nghiên cứu, đóng góp vào việc phát triển, cải tiến
</t>
    </r>
    <r>
      <rPr>
        <b val="false"/>
        <i val="true"/>
        <strike val="false"/>
        <sz val="10"/>
        <color rgb="FF000000"/>
      </rPr>
      <t xml:space="preserve">- Quy trình đào tạo
- Môn học mớ</t>
    </r>
    <r>
      <rPr>
        <b val="false"/>
        <i val="false"/>
        <strike val="false"/>
        <sz val="10"/>
        <color rgb="FF000000"/>
      </rPr>
      <t>i</t>
    </r>
  </si>
  <si>
    <t xml:space="preserve">Đứng lớp</t>
  </si>
  <si>
    <t xml:space="preserve">Rank 4</t>
  </si>
  <si>
    <t xml:space="preserve">Giảng viên cứng</t>
  </si>
  <si>
    <t/>
    <r>
      <rPr>
        <b val="false"/>
        <i val="false"/>
        <strike val="false"/>
        <sz val="10"/>
        <color rgb="FF000000"/>
      </rPr>
      <t xml:space="preserve">- Có chuyên môn tốt về một số chuyên ngành nhất định (CNTT - QTKDs)
- Có kinh nghiệm giảng dạy, kỹ năng sư phạm tốt (1 - 2 năm)
</t>
    </r>
    <r>
      <rPr>
        <b val="true"/>
        <i val="false"/>
        <strike val="false"/>
        <sz val="10"/>
        <color rgb="FF000000"/>
      </rPr>
      <t xml:space="preserve">- Phát triển từ giảng viên Rank 3</t>
    </r>
  </si>
  <si>
    <t/>
    <r>
      <rPr>
        <b val="true"/>
        <i val="false"/>
        <strike val="false"/>
        <sz val="10"/>
        <color rgb="FF000000"/>
      </rPr>
      <t xml:space="preserve">- Vận hành, quản lý từ 2 lớp học
</t>
    </r>
    <r>
      <rPr>
        <b val="false"/>
        <i val="false"/>
        <strike val="false"/>
        <sz val="10"/>
        <color rgb="FF000000"/>
      </rPr>
      <t xml:space="preserve">- Sản xuất các tài nguyên học tập của môn học được giao
</t>
    </r>
    <r>
      <rPr>
        <b val="false"/>
        <i val="true"/>
        <strike val="false"/>
        <sz val="10"/>
        <color rgb="FF000000"/>
      </rPr>
      <t xml:space="preserve">- Slide/Video bài giảng
- Mindmap tổng hợp
- Bài tập tổng hợp
</t>
    </r>
    <r>
      <rPr>
        <b val="false"/>
        <i val="false"/>
        <strike val="false"/>
        <sz val="10"/>
        <color rgb="FF000000"/>
      </rPr>
      <t xml:space="preserve">Nghiên cứu, đóng góp vào việc phát triển, cải tiến
</t>
    </r>
    <r>
      <rPr>
        <b val="false"/>
        <i val="true"/>
        <strike val="false"/>
        <sz val="10"/>
        <color rgb="FF000000"/>
      </rPr>
      <t xml:space="preserve">- Quy trình đào tạo
- Môn học mới</t>
    </r>
  </si>
  <si>
    <t xml:space="preserve">Sư phạm, kết quả tốt</t>
  </si>
  <si>
    <t xml:space="preserve">Rank 5</t>
  </si>
  <si>
    <t xml:space="preserve">GV – PM môn</t>
  </si>
  <si>
    <t/>
    <r>
      <rPr>
        <b val="false"/>
        <i val="false"/>
        <strike val="false"/>
        <sz val="10"/>
        <color rgb="FF000000"/>
      </rPr>
      <t xml:space="preserve">- Có chuyên môn tốt về một số chuyên ngành nhất định (CNTT - QTKDs)
- Có kinh nghiệm giảng dạy, kỹ năng sư phạm (2 năm trở lên)
</t>
    </r>
    <r>
      <rPr>
        <b val="true"/>
        <i val="false"/>
        <strike val="false"/>
        <sz val="10"/>
        <color rgb="FF000000"/>
      </rPr>
      <t xml:space="preserve">- Phát triển từ giảng viên Rank 4
</t>
    </r>
    <r>
      <rPr>
        <b val="false"/>
        <i val="false"/>
        <strike val="false"/>
        <sz val="10"/>
        <color rgb="FF000000"/>
      </rPr>
      <t xml:space="preserve">- Yêu cầu có bằng cấp từ bập ĐH trở lên (Đúng theo chuyên ngành giảng dạy)</t>
    </r>
  </si>
  <si>
    <t/>
    <r>
      <rPr>
        <b val="true"/>
        <i val="false"/>
        <strike val="false"/>
        <sz val="10"/>
        <color rgb="FF000000"/>
      </rPr>
      <t xml:space="preserve">- Vận hành, quản lý từ 2 lớp học
</t>
    </r>
    <r>
      <rPr>
        <b val="false"/>
        <i val="false"/>
        <strike val="false"/>
        <sz val="10"/>
        <color rgb="FF000000"/>
      </rPr>
      <t xml:space="preserve">- Sản xuất các tài nguyên học tập của môn học được giao
</t>
    </r>
    <r>
      <rPr>
        <b val="false"/>
        <i val="true"/>
        <strike val="false"/>
        <sz val="10"/>
        <color rgb="FF000000"/>
      </rPr>
      <t xml:space="preserve">- Slide/Video bài giảng
- Mindmap tổng hợp
- Bài tập tổng hợp
</t>
    </r>
    <r>
      <rPr>
        <b val="false"/>
        <i val="false"/>
        <strike val="false"/>
        <sz val="10"/>
        <color rgb="FF000000"/>
      </rPr>
      <t xml:space="preserve">- Nghiên cứu, đóng góp vào việc phát triển, cải tiến
</t>
    </r>
    <r>
      <rPr>
        <b val="false"/>
        <i val="true"/>
        <strike val="false"/>
        <sz val="10"/>
        <color rgb="FF000000"/>
      </rPr>
      <t xml:space="preserve">- Quy trình đào tạo
- Môn học mới
</t>
    </r>
    <r>
      <rPr>
        <b val="true"/>
        <i val="false"/>
        <strike val="false"/>
        <sz val="10"/>
        <color rgb="FF000000"/>
      </rPr>
      <t xml:space="preserve">- Quản lý ít nhất 1 chương trình đào tạo của 1 môn học
- Bồi dưỡng về nghiệp vụ quản lý → Phát triển lên các vị trí cấp quản lý</t>
    </r>
  </si>
  <si>
    <t xml:space="preserve">Xây dựng môn học</t>
  </si>
  <si>
    <t xml:space="preserve">Rank 6</t>
  </si>
  <si>
    <t xml:space="preserve">PM CT đào tạo</t>
  </si>
  <si>
    <t/>
    <r>
      <rPr>
        <b val="false"/>
        <i val="false"/>
        <strike val="false"/>
        <sz val="10"/>
        <color rgb="FF000000"/>
      </rPr>
      <t xml:space="preserve">- Có chuyên môn tốt về một số chuyên ngành nhất định (CNTT - QTKDs)
- Có kinh nghiệm giảng dạy, kỹ năng sư phạm (3 - 5 năm)
</t>
    </r>
    <r>
      <rPr>
        <b val="true"/>
        <i val="false"/>
        <strike val="false"/>
        <sz val="10"/>
        <color rgb="FF000000"/>
      </rPr>
      <t xml:space="preserve">- Phát triển từ giảng viên Rank 5
- Yêu cầu có bằng cấp từ bập ThS trở lên (Đúng theo chuyên ngành giảng dạy)</t>
    </r>
  </si>
  <si>
    <t/>
    <r>
      <rPr>
        <b val="true"/>
        <i val="false"/>
        <strike val="false"/>
        <sz val="10"/>
        <color rgb="FF000000"/>
      </rPr>
      <t xml:space="preserve">- Vận hành, quản lý ít nhất 1 lớp học
</t>
    </r>
    <r>
      <rPr>
        <b val="false"/>
        <i val="false"/>
        <strike val="false"/>
        <sz val="10"/>
        <color rgb="FF000000"/>
      </rPr>
      <t xml:space="preserve">- Sản xuất các tài nguyên học tập của môn học được giao
</t>
    </r>
    <r>
      <rPr>
        <b val="false"/>
        <i val="true"/>
        <strike val="false"/>
        <sz val="10"/>
        <color rgb="FF000000"/>
      </rPr>
      <t xml:space="preserve">- Slide/Video bài giảng
- Mindmap tổng hợp
- Bài tập tổng hợp
</t>
    </r>
    <r>
      <rPr>
        <b val="false"/>
        <i val="false"/>
        <strike val="false"/>
        <sz val="10"/>
        <color rgb="FF000000"/>
      </rPr>
      <t xml:space="preserve">- Nghiên cứu, đóng góp vào việc phát triển, cải tiến
</t>
    </r>
    <r>
      <rPr>
        <b val="false"/>
        <i val="true"/>
        <strike val="false"/>
        <sz val="10"/>
        <color rgb="FF000000"/>
      </rPr>
      <t xml:space="preserve">- Quy trình đào tạo
- Môn học mới
</t>
    </r>
    <r>
      <rPr>
        <b val="true"/>
        <i val="false"/>
        <strike val="false"/>
        <sz val="10"/>
        <color rgb="FF000000"/>
      </rPr>
      <t xml:space="preserve">- Quản lý ít nhất 1 chương trình đào tạo của một chuyên ngành
- Bồi dưỡng về nghiệp vụ quản lý → Phát triển lên các vị trí cấp quản lý</t>
    </r>
  </si>
  <si>
    <t xml:space="preserve">Quản lý</t>
  </si>
  <si>
    <t xml:space="preserve">Rank 7</t>
  </si>
  <si>
    <t xml:space="preserve">GV thương hiệu</t>
  </si>
  <si>
    <t/>
    <r>
      <rPr>
        <b val="false"/>
        <i val="false"/>
        <strike val="false"/>
        <sz val="10"/>
        <color rgb="FF000000"/>
      </rPr>
      <t xml:space="preserve">- Có chuyên môn tốt về một số chuyên ngành nhất định (CNTT - QTKDs)
- Có kinh nghiệm giảng dạy, kỹ năng sư phạm (3 - 5 năm)
- Có thương hiệu đào tạo uy tín trên thị trường tại các đơn vị, tổ chức giáo dục
</t>
    </r>
    <r>
      <rPr>
        <b val="true"/>
        <i val="false"/>
        <strike val="false"/>
        <sz val="10"/>
        <color rgb="FF000000"/>
      </rPr>
      <t xml:space="preserve">- Phát triển từ giảng viên Rank 6
- Yêu cầu có bằng cấp từ bập ThS trở lên (Đúng theo chuyên ngành giảng dạy)</t>
    </r>
  </si>
  <si>
    <t/>
    <r>
      <rPr>
        <b val="false"/>
        <i val="false"/>
        <strike val="false"/>
        <sz val="10"/>
        <color rgb="FF000000"/>
      </rPr>
      <t xml:space="preserve">- Sản xuất các tài nguyên học tập của môn học được giao
</t>
    </r>
    <r>
      <rPr>
        <b val="false"/>
        <i val="true"/>
        <strike val="false"/>
        <sz val="10"/>
        <color rgb="FF000000"/>
      </rPr>
      <t xml:space="preserve">- Slide/Video bài giảng
- Mindmap tổng hợp
- Bài tập tổng hợp
</t>
    </r>
    <r>
      <rPr>
        <b val="false"/>
        <i val="false"/>
        <strike val="false"/>
        <sz val="10"/>
        <color rgb="FF000000"/>
      </rPr>
      <t xml:space="preserve">- Nghiên cứu, đóng góp vào việc phát triển, cải tiến
</t>
    </r>
    <r>
      <rPr>
        <b val="false"/>
        <i val="true"/>
        <strike val="false"/>
        <sz val="10"/>
        <color rgb="FF000000"/>
      </rPr>
      <t xml:space="preserve">- Quy trình đào tạo
- Môn học mới
</t>
    </r>
    <r>
      <rPr>
        <b val="true"/>
        <i val="false"/>
        <strike val="false"/>
        <sz val="10"/>
        <color rgb="FF000000"/>
      </rPr>
      <t xml:space="preserve">- Quản lý ít nhất 1 chương trình đào tạo của một chuyên ngành
- Quản lý đội ngũ giảng viên, trợ giảng tại khối đào tạo</t>
    </r>
  </si>
  <si>
    <t xml:space="preserve">Quản lý, kết quả ĐT tốt</t>
  </si>
  <si>
    <t xml:space="preserve">Rank 8</t>
  </si>
  <si>
    <t xml:space="preserve">Nhóm năng lực</t>
  </si>
  <si>
    <t xml:space="preserve">Trọng số</t>
  </si>
  <si>
    <t xml:space="preserve">Chỉ số đo lường</t>
  </si>
  <si>
    <t xml:space="preserve">Thang điểm</t>
  </si>
  <si>
    <t xml:space="preserve">Cách đo lường</t>
  </si>
  <si>
    <t xml:space="preserve">Nghiệp vụ sư phạm</t>
  </si>
  <si>
    <t xml:space="preserve">Kỹ năng quản lý lớp học</t>
  </si>
  <si>
    <t xml:space="preserve">1 -&gt; 5</t>
  </si>
  <si>
    <t xml:space="preserve">Kỹ năng truyền đạt</t>
  </si>
  <si>
    <t xml:space="preserve">Chứng chỉ sư phạm</t>
  </si>
  <si>
    <t xml:space="preserve">0 -&gt; 2</t>
  </si>
  <si>
    <t xml:space="preserve">Kinh nghiệm giảng dạy</t>
  </si>
  <si>
    <t xml:space="preserve">Điểm đánh giá định kỳ</t>
  </si>
  <si>
    <t xml:space="preserve">1 -&gt; 10</t>
  </si>
  <si>
    <t xml:space="preserve">Chuyên môn</t>
  </si>
  <si>
    <t xml:space="preserve">Công nghệ</t>
  </si>
  <si>
    <t xml:space="preserve">Công cụ</t>
  </si>
  <si>
    <t xml:space="preserve">Dự án thực tế</t>
  </si>
  <si>
    <t xml:space="preserve">Kết quả lớp học</t>
  </si>
  <si>
    <t xml:space="preserve">Tỉ lệ sinh viên vi phạm quy định học tập</t>
  </si>
  <si>
    <t xml:space="preserve">Tỉ lệ sinh viên pass môn học</t>
  </si>
  <si>
    <t xml:space="preserve">Tỉ lệ sinh viên duy trì mức Khá-Giỏi-Xuất sắc</t>
  </si>
  <si>
    <t xml:space="preserve">Sản xuất tài nguyên học tập</t>
  </si>
  <si>
    <t xml:space="preserve">Số lượng môn học tham gia sản xuất</t>
  </si>
  <si>
    <t xml:space="preserve">Tỉ lệ reject tài liệu</t>
  </si>
  <si>
    <t xml:space="preserve">Số lượng môn học bị reject</t>
  </si>
  <si>
    <t xml:space="preserve">Khác</t>
  </si>
  <si>
    <t xml:space="preserve">Tỉ lệ vi phạm kỷ luật, tính tuân thủ</t>
  </si>
  <si>
    <t xml:space="preserve">Thương hiệu cá nhân</t>
  </si>
  <si>
    <t xml:space="preserve">Mentor các GV/TG</t>
  </si>
  <si>
    <t xml:space="preserve">Tổng</t>
  </si>
  <si>
    <t xml:space="preserve">Rank</t>
  </si>
  <si>
    <t xml:space="preserve">Vai trò</t>
  </si>
  <si>
    <t xml:space="preserve">Thời gian tối thiểu</t>
  </si>
  <si>
    <t xml:space="preserve">Tổng điểm</t>
  </si>
  <si>
    <t xml:space="preserve">Điểm bắt buộc theo nhóm</t>
  </si>
  <si>
    <t xml:space="preserve">Rank 1</t>
  </si>
  <si>
    <t xml:space="preserve">TTS Trợ giảng</t>
  </si>
  <si>
    <t xml:space="preserve">&lt; 6 tháng</t>
  </si>
  <si>
    <t xml:space="preserve">≥ 40</t>
  </si>
  <si>
    <t xml:space="preserve">Khác ≥ 5/10</t>
  </si>
  <si>
    <t xml:space="preserve">Kỳ luật, thái độ</t>
  </si>
  <si>
    <t xml:space="preserve">Rank 2</t>
  </si>
  <si>
    <t xml:space="preserve">Trợ giảng cứng</t>
  </si>
  <si>
    <t xml:space="preserve">≥ 6 tháng</t>
  </si>
  <si>
    <t xml:space="preserve">≥ 55</t>
  </si>
  <si>
    <t xml:space="preserve">Khác ≥ 7/10</t>
  </si>
  <si>
    <t xml:space="preserve">Rank 3</t>
  </si>
  <si>
    <t xml:space="preserve">Giảng viên tập sự</t>
  </si>
  <si>
    <t xml:space="preserve">≥ 6 tháng TA</t>
  </si>
  <si>
    <t xml:space="preserve">≥ 65</t>
  </si>
  <si>
    <t xml:space="preserve">Sư phạm ≥ 12/20</t>
  </si>
  <si>
    <t xml:space="preserve">Đứng lớp</t>
  </si>
  <si>
    <t xml:space="preserve">Rank 4</t>
  </si>
  <si>
    <t xml:space="preserve">Giảng viên cứng</t>
  </si>
  <si>
    <t xml:space="preserve">≥ 1 năm</t>
  </si>
  <si>
    <t xml:space="preserve">≥ 75</t>
  </si>
  <si>
    <t xml:space="preserve">Kết quả lớp học ≥ 14/25</t>
  </si>
  <si>
    <t xml:space="preserve">Sư phạm, kết quả tốt</t>
  </si>
  <si>
    <t xml:space="preserve">Rank 5</t>
  </si>
  <si>
    <t xml:space="preserve">GV – PM môn</t>
  </si>
  <si>
    <t xml:space="preserve">≥ 2 năm</t>
  </si>
  <si>
    <t xml:space="preserve">≥ 82</t>
  </si>
  <si>
    <t xml:space="preserve">Sản xuất tài nguyên ≥ 12/20</t>
  </si>
  <si>
    <t xml:space="preserve">Xây dựng môn học</t>
  </si>
  <si>
    <t xml:space="preserve">Rank 6</t>
  </si>
  <si>
    <t xml:space="preserve">PM CT đào tạo</t>
  </si>
  <si>
    <t xml:space="preserve">≥ 3 năm</t>
  </si>
  <si>
    <t xml:space="preserve">≥ 88</t>
  </si>
  <si>
    <t xml:space="preserve">Khác ≥ 7/10 (mentor, thương hiệu)</t>
  </si>
  <si>
    <t xml:space="preserve">Quản lý</t>
  </si>
  <si>
    <t xml:space="preserve">Rank 7</t>
  </si>
  <si>
    <t xml:space="preserve">GV thương hiệu nội bộ</t>
  </si>
  <si>
    <t xml:space="preserve">≥ 4 năm</t>
  </si>
  <si>
    <t xml:space="preserve">≥ 92</t>
  </si>
  <si>
    <t xml:space="preserve">Kết quả lớp học ≥ 18/25</t>
  </si>
  <si>
    <t xml:space="preserve">Quản lý, kết quả ĐT tốt</t>
  </si>
  <si>
    <t xml:space="preserve">Rank 8</t>
  </si>
  <si>
    <t xml:space="preserve">GV thương hiệu thị trường</t>
  </si>
  <si>
    <t xml:space="preserve">≥ 5 năm</t>
  </si>
  <si>
    <t xml:space="preserve">≥ 95</t>
  </si>
  <si>
    <t xml:space="preserve">Khác ≥ 9/10 (thương hiệu)</t>
  </si>
  <si>
    <t xml:space="preserve">Chỉ số</t>
  </si>
  <si>
    <t xml:space="preserve">1 điểm</t>
  </si>
  <si>
    <t xml:space="preserve">3 điểm</t>
  </si>
  <si>
    <t xml:space="preserve">5 điểm</t>
  </si>
  <si>
    <t xml:space="preserve">8 điểm</t>
  </si>
  <si>
    <t xml:space="preserve">10 điểm</t>
  </si>
  <si>
    <t xml:space="preserve">Tỉ lệ vi phạm</t>
  </si>
  <si>
    <t xml:space="preserve">&gt;20%</t>
  </si>
  <si>
    <t xml:space="preserve">15–20%</t>
  </si>
  <si>
    <t xml:space="preserve">10–15%</t>
  </si>
  <si>
    <t xml:space="preserve">5–10%</t>
  </si>
  <si>
    <t xml:space="preserve">&lt;5%</t>
  </si>
  <si>
    <t xml:space="preserve">Tỉ lệ pass</t>
  </si>
  <si>
    <t xml:space="preserve">&lt;60%</t>
  </si>
  <si>
    <t xml:space="preserve">60–70%</t>
  </si>
  <si>
    <t xml:space="preserve">70–80%</t>
  </si>
  <si>
    <t xml:space="preserve">80–90%</t>
  </si>
  <si>
    <t xml:space="preserve">&gt;90%</t>
  </si>
  <si>
    <t xml:space="preserve">Tỉ lệ Khá+</t>
  </si>
  <si>
    <t xml:space="preserve">&lt;40%</t>
  </si>
  <si>
    <t xml:space="preserve">40–50%</t>
  </si>
  <si>
    <t xml:space="preserve">50–60%</t>
  </si>
  <si>
    <t xml:space="preserve">&gt;70%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</si>
</sst>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"/>
  </numFmts>
  <fonts count="8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 val="true"/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z val="10"/>
      <color rgb="FFF54A45"/>
      <name val="Calibri"/>
      <family val="2"/>
      <scheme val="minor"/>
    </font>
  </fonts>
  <fills count="1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F8F9FA"/>
        <bgColor/>
      </patternFill>
    </fill>
    <fill>
      <patternFill patternType="solid">
        <fgColor rgb="FFD9F5D6"/>
        <bgColor/>
      </patternFill>
    </fill>
    <fill>
      <patternFill patternType="solid">
        <fgColor rgb="FFE1EAFF"/>
        <bgColor/>
      </patternFill>
    </fill>
    <fill>
      <patternFill patternType="solid">
        <fgColor rgb="FFFBBFBC"/>
        <bgColor/>
      </patternFill>
    </fill>
    <fill>
      <patternFill patternType="solid">
        <fgColor rgb="FFF8F9FA"/>
        <bgColor/>
      </patternFill>
    </fill>
    <fill>
      <patternFill patternType="solid">
        <fgColor rgb="FFD9F5D6"/>
        <bgColor/>
      </patternFill>
    </fill>
    <fill>
      <patternFill patternType="solid">
        <fgColor rgb="FFE1EAFF"/>
        <bgColor/>
      </patternFill>
    </fill>
    <fill>
      <patternFill patternType="solid">
        <fgColor rgb="FFFBBFBC"/>
        <bgColor/>
      </patternFill>
    </fill>
    <fill>
      <patternFill patternType="solid">
        <fgColor rgb="FFBACEFD"/>
        <bgColor/>
      </patternFill>
    </fill>
    <fill>
      <patternFill patternType="solid">
        <fgColor rgb="FFF8F9FA"/>
        <bgColor/>
      </patternFill>
    </fill>
    <fill>
      <patternFill patternType="solid">
        <fgColor rgb="FFD9F5D6"/>
        <bgColor/>
      </patternFill>
    </fill>
    <fill>
      <patternFill patternType="solid">
        <fgColor rgb="FFE1EAFF"/>
        <bgColor/>
      </patternFill>
    </fill>
    <fill>
      <patternFill patternType="solid">
        <fgColor rgb="FFFBBFBC"/>
        <bgColor/>
      </patternFill>
    </fill>
    <fill>
      <patternFill patternType="solid">
        <fgColor rgb="FFE1EAFF"/>
        <bgColor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3" fontId="1" numFmtId="0" xfId="0">
      <alignment vertical="center"/>
    </xf>
    <xf applyAlignment="true" applyBorder="false" applyFill="true" applyFont="true" applyNumberFormat="false" applyProtection="false" borderId="1" fillId="4" fontId="2" numFmtId="0" xfId="0">
      <alignment vertical="center" wrapText="true"/>
    </xf>
    <xf applyAlignment="true" applyBorder="false" applyFill="true" applyFont="true" applyNumberFormat="false" applyProtection="false" borderId="1" fillId="4" fontId="1" numFmtId="0" xfId="0">
      <alignment vertical="center" wrapText="true"/>
    </xf>
    <xf applyAlignment="true" applyBorder="false" applyFill="true" applyFont="true" applyNumberFormat="false" applyProtection="false" borderId="1" fillId="5" fontId="2" numFmtId="0" xfId="0">
      <alignment vertical="center" wrapText="true"/>
    </xf>
    <xf applyAlignment="true" applyBorder="false" applyFill="true" applyFont="true" applyNumberFormat="false" applyProtection="false" borderId="1" fillId="5" fontId="1" numFmtId="0" xfId="0">
      <alignment vertical="center" wrapText="true"/>
    </xf>
    <xf applyAlignment="true" applyBorder="false" applyFill="true" applyFont="true" applyNumberFormat="false" applyProtection="false" borderId="1" fillId="6" fontId="2" numFmtId="0" xfId="0">
      <alignment vertical="center" wrapText="true"/>
    </xf>
    <xf applyAlignment="true" applyBorder="false" applyFill="true" applyFont="true" applyNumberFormat="false" applyProtection="false" borderId="1" fillId="6" fontId="1" numFmtId="0" xfId="0">
      <alignment vertical="center" wrapText="true"/>
    </xf>
    <xf applyAlignment="true" applyBorder="false" applyFill="true" applyFont="true" applyNumberFormat="false" applyProtection="false" borderId="3" fillId="7" fontId="3" numFmtId="0" xfId="0">
      <alignment horizontal="center" vertical="center" wrapText="true"/>
    </xf>
    <xf applyAlignment="true" applyBorder="false" applyFill="true" applyFont="true" applyNumberFormat="false" applyProtection="false" borderId="4" fillId="7" fontId="3" numFmtId="0" xfId="0">
      <alignment horizontal="center" vertical="center" wrapText="true"/>
    </xf>
    <xf applyAlignment="true" applyBorder="false" applyFill="true" applyFont="true" applyNumberFormat="false" applyProtection="false" borderId="3" fillId="7" fontId="3" numFmtId="0" xfId="0">
      <alignment horizontal="center" vertical="center" wrapText="true"/>
    </xf>
    <xf applyAlignment="true" applyBorder="false" applyFill="true" applyFont="true" applyNumberFormat="false" applyProtection="false" borderId="3" fillId="8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vertical="center" wrapText="true"/>
    </xf>
    <xf applyAlignment="true" applyBorder="false" applyFill="false" applyFont="true" applyNumberFormat="false" applyProtection="false" borderId="3" fillId="0" fontId="4" numFmtId="0" xfId="0">
      <alignment vertical="center" wrapText="true"/>
    </xf>
    <xf applyAlignment="true" applyBorder="false" applyFill="false" applyFont="true" applyNumberFormat="false" applyProtection="false" borderId="6" fillId="0" fontId="4" numFmtId="0" xfId="0">
      <alignment vertical="center" wrapText="true"/>
    </xf>
    <xf applyAlignment="true" applyBorder="false" applyFill="false" applyFont="true" applyNumberFormat="true" applyProtection="false" borderId="3" fillId="0" fontId="4" numFmtId="164" xfId="0">
      <alignment horizontal="center" vertical="center" wrapText="true"/>
    </xf>
    <xf applyAlignment="true" applyBorder="false" applyFill="false" applyFont="true" applyNumberFormat="true" applyProtection="false" borderId="3" fillId="0" fontId="6" numFmtId="164" xfId="0">
      <alignment horizontal="center" vertical="center" wrapText="true"/>
    </xf>
    <xf applyAlignment="true" applyBorder="false" applyFill="false" applyFont="true" applyNumberFormat="true" applyProtection="false" borderId="3" fillId="0" fontId="7" numFmtId="164" xfId="0">
      <alignment horizontal="center" vertical="center" wrapText="true"/>
    </xf>
    <xf applyAlignment="true" applyBorder="false" applyFill="false" applyFont="true" applyNumberFormat="false" applyProtection="false" borderId="5" fillId="0" fontId="5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false" applyFont="true" applyNumberFormat="false" applyProtection="false" borderId="6" fillId="0" fontId="4" numFmtId="0" xfId="0">
      <alignment vertical="center" wrapText="true"/>
    </xf>
    <xf applyAlignment="true" applyBorder="false" applyFill="false" applyFont="true" applyNumberFormat="true" applyProtection="false" borderId="3" fillId="0" fontId="4" numFmtId="164" xfId="0">
      <alignment horizontal="center" vertical="center" wrapText="true"/>
    </xf>
    <xf applyAlignment="true" applyBorder="false" applyFill="false" applyFont="true" applyNumberFormat="false" applyProtection="false" borderId="7" fillId="0" fontId="3" numFmtId="0" xfId="0">
      <alignment vertical="center" wrapText="true"/>
    </xf>
    <xf applyAlignment="true" applyBorder="false" applyFill="true" applyFont="true" applyNumberFormat="false" applyProtection="false" borderId="5" fillId="8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true" applyFont="true" applyNumberFormat="false" applyProtection="false" borderId="3" fillId="9" fontId="3" numFmtId="0" xfId="0">
      <alignment horizontal="center" vertical="center" wrapText="true"/>
    </xf>
    <xf applyAlignment="true" applyBorder="false" applyFill="false" applyFont="true" applyNumberFormat="false" applyProtection="false" borderId="8" fillId="0" fontId="3" numFmtId="0" xfId="0">
      <alignment vertical="center" wrapText="true"/>
    </xf>
    <xf applyAlignment="true" applyBorder="false" applyFill="true" applyFont="true" applyNumberFormat="false" applyProtection="false" borderId="3" fillId="10" fontId="3" numFmtId="0" xfId="0">
      <alignment horizontal="center" vertical="center" wrapText="true"/>
    </xf>
    <xf applyAlignment="true" applyBorder="false" applyFill="false" applyFont="true" applyNumberFormat="false" applyProtection="false" borderId="3" fillId="0" fontId="4" numFmtId="0" xfId="0">
      <alignment vertical="center" wrapText="true"/>
    </xf>
    <xf applyAlignment="true" applyBorder="false" applyFill="true" applyFont="true" applyNumberFormat="false" applyProtection="false" borderId="3" fillId="10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vertical="center" wrapText="true"/>
    </xf>
    <xf applyAlignment="true" applyBorder="false" applyFill="false" applyFont="true" applyNumberFormat="false" applyProtection="false" borderId="3" fillId="0" fontId="4" numFmtId="0" xfId="0">
      <alignment vertical="center" wrapText="true"/>
    </xf>
    <xf applyAlignment="true" applyBorder="false" applyFill="true" applyFont="true" applyNumberFormat="false" applyProtection="false" borderId="9" fillId="11" fontId="1" numFmtId="0" xfId="0">
      <alignment vertical="center"/>
    </xf>
    <xf applyAlignment="true" applyBorder="false" applyFill="true" applyFont="true" applyNumberFormat="false" applyProtection="false" borderId="9" fillId="12" fontId="1" numFmtId="0" xfId="0">
      <alignment vertical="center"/>
    </xf>
    <xf applyAlignment="true" applyBorder="false" applyFill="false" applyFont="true" applyNumberFormat="false" applyProtection="false" borderId="9" fillId="0" fontId="2" numFmtId="0" xfId="0">
      <alignment horizontal="center" vertical="center"/>
    </xf>
    <xf applyAlignment="true" applyBorder="false" applyFill="false" applyFont="true" applyNumberFormat="false" applyProtection="false" borderId="9" fillId="0" fontId="2" numFmtId="0" xfId="0">
      <alignment vertical="center"/>
    </xf>
    <xf applyAlignment="true" applyBorder="false" applyFill="false" applyFont="true" applyNumberFormat="false" applyProtection="false" borderId="9" fillId="0" fontId="2" numFmtId="0" xfId="0">
      <alignment vertical="center"/>
    </xf>
    <xf applyAlignment="true" applyBorder="false" applyFill="false" applyFont="true" applyNumberFormat="false" applyProtection="false" borderId="9" fillId="0" fontId="2" numFmtId="0" xfId="0">
      <alignment horizontal="center" vertical="center"/>
    </xf>
    <xf applyAlignment="true" applyBorder="false" applyFill="true" applyFont="true" applyNumberFormat="false" applyProtection="false" borderId="10" fillId="12" fontId="1" numFmtId="0" xfId="0">
      <alignment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vertical="center"/>
    </xf>
    <xf applyAlignment="true" applyBorder="false" applyFill="true" applyFont="true" applyNumberFormat="false" applyProtection="false" borderId="11" fillId="12" fontId="1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9" fillId="11" fontId="3" numFmtId="0" xfId="0">
      <alignment horizontal="center" vertical="center" wrapText="true"/>
    </xf>
    <xf applyAlignment="true" applyBorder="false" applyFill="true" applyFont="true" applyNumberFormat="false" applyProtection="false" borderId="9" fillId="13" fontId="3" numFmtId="0" xfId="0">
      <alignment vertical="center" wrapText="true"/>
    </xf>
    <xf applyAlignment="true" applyBorder="false" applyFill="false" applyFont="true" applyNumberFormat="false" applyProtection="false" borderId="9" fillId="0" fontId="3" numFmtId="0" xfId="0">
      <alignment vertical="center" wrapText="true"/>
    </xf>
    <xf applyAlignment="true" applyBorder="false" applyFill="false" applyFont="true" applyNumberFormat="false" applyProtection="false" borderId="9" fillId="0" fontId="4" numFmtId="0" xfId="0">
      <alignment vertical="center" wrapText="true"/>
    </xf>
    <xf applyAlignment="true" applyBorder="false" applyFill="false" applyFont="true" applyNumberFormat="false" applyProtection="false" borderId="9" fillId="0" fontId="5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9" fillId="14" fontId="3" numFmtId="0" xfId="0">
      <alignment vertical="center" wrapText="true"/>
    </xf>
    <xf applyAlignment="true" applyBorder="false" applyFill="true" applyFont="true" applyNumberFormat="false" applyProtection="false" borderId="9" fillId="15" fontId="3" numFmtId="0" xfId="0">
      <alignment vertical="center" wrapText="true"/>
    </xf>
    <xf applyAlignment="true" applyBorder="false" applyFill="false" applyFont="true" applyNumberFormat="false" applyProtection="false" borderId="9" fillId="0" fontId="3" numFmtId="0" xfId="0">
      <alignment vertical="center" wrapText="true"/>
    </xf>
    <xf applyAlignment="true" applyBorder="false" applyFill="true" applyFont="true" applyNumberFormat="false" applyProtection="false" borderId="12" fillId="16" fontId="1" numFmtId="0" xfId="0">
      <alignment vertical="center"/>
    </xf>
    <xf applyAlignment="true" applyBorder="false" applyFill="false" applyFont="true" applyNumberFormat="false" applyProtection="false" borderId="12" fillId="0" fontId="1" numFmtId="0" xfId="0">
      <alignment vertical="center"/>
    </xf>
    <xf applyAlignment="true" applyBorder="false" applyFill="false" applyFont="true" applyNumberFormat="false" applyProtection="false" borderId="12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calcChain.xml" Type="http://schemas.openxmlformats.org/officeDocument/2006/relationships/calcChain"></Relationship><Relationship Id="rId12" Target="metadata.xml" Type="http://schemas.openxmlformats.org/officeDocument/2006/relationships/sheetMetadata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" defaultRowHeight="16"/>
  <cols>
    <col collapsed="false" customWidth="true" hidden="false" max="2" min="2" style="0" width="12"/>
    <col collapsed="false" customWidth="true" hidden="false" max="4" min="4" style="0" width="12"/>
    <col collapsed="false" customWidth="true" hidden="false" max="6" min="6" style="0" width="12"/>
    <col collapsed="false" customWidth="true" hidden="false" max="8" min="8" style="0" width="12"/>
    <col collapsed="false" customWidth="true" hidden="false" max="1" min="1" style="0" width="12"/>
    <col collapsed="false" customWidth="true" hidden="false" max="3" min="3" style="0" width="13"/>
    <col collapsed="false" customWidth="true" hidden="false" max="5" min="5" style="0" width="12"/>
    <col collapsed="false" customWidth="true" hidden="false" max="7" min="7" style="0" width="12"/>
  </cols>
  <sheetData>
    <row r="1">
      <c r="A1" s="1" t="s">
        <v>1</v>
      </c>
      <c r="B1" s="1"/>
      <c r="C1" s="1" t="s">
        <v>2</v>
      </c>
      <c r="D1" s="1"/>
      <c r="E1" s="1"/>
      <c r="F1" s="1"/>
      <c r="G1" s="1"/>
      <c r="H1" s="1"/>
    </row>
    <row r="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</row>
    <row r="3">
      <c r="A3" s="3" t="s">
        <v>11</v>
      </c>
      <c r="B3" s="4" t="s">
        <v>1</v>
      </c>
      <c r="C3" s="5" t="s">
        <v>12</v>
      </c>
      <c r="D3" s="6" t="s">
        <v>2</v>
      </c>
      <c r="E3" s="5" t="s">
        <v>13</v>
      </c>
      <c r="F3" s="7" t="s">
        <v>14</v>
      </c>
      <c r="G3" s="7" t="s">
        <v>14</v>
      </c>
      <c r="H3" s="8" t="s">
        <v>15</v>
      </c>
    </row>
  </sheetData>
  <mergeCells>
    <mergeCell ref="A1:B1"/>
    <mergeCell ref="C1:H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1" min="1" style="0" width="16"/>
    <col collapsed="false" customWidth="true" hidden="false" max="3" min="3" style="0" width="33"/>
    <col collapsed="false" customWidth="true" hidden="false" max="5" min="5" style="0" width="16"/>
    <col collapsed="false" customWidth="true" hidden="false" max="7" min="7" style="0" width="16"/>
    <col collapsed="false" customWidth="true" hidden="false" max="2" min="2" style="0" width="16"/>
    <col collapsed="false" customWidth="true" hidden="false" max="4" min="4" style="0" width="33"/>
    <col collapsed="false" customWidth="true" hidden="false" max="6" min="6" style="0" width="16"/>
    <col collapsed="false" customWidth="true" hidden="false" max="8" min="8" style="0" width="16"/>
    <col collapsed="false" customWidth="true" hidden="false" max="9" min="9" style="0" width="16"/>
  </cols>
  <sheetData>
    <row customHeight="true" ht="16" r="1">
      <c r="A1" s="9" t="s">
        <v>16</v>
      </c>
      <c r="B1" s="9" t="s">
        <v>17</v>
      </c>
      <c r="C1" s="10" t="s">
        <v>18</v>
      </c>
      <c r="D1" s="11" t="s">
        <v>19</v>
      </c>
      <c r="E1" s="11" t="s">
        <v>20</v>
      </c>
      <c r="F1" s="11"/>
      <c r="G1" s="11"/>
      <c r="H1" s="11" t="s">
        <v>21</v>
      </c>
      <c r="I1" s="11"/>
    </row>
    <row r="2">
      <c r="A2" s="9"/>
      <c r="B2" s="9"/>
      <c r="C2" s="10"/>
      <c r="D2" s="11"/>
      <c r="E2" s="11" t="s">
        <v>22</v>
      </c>
      <c r="F2" s="11" t="s">
        <v>23</v>
      </c>
      <c r="G2" s="11" t="s">
        <v>24</v>
      </c>
      <c r="H2" s="11" t="s">
        <v>25</v>
      </c>
      <c r="I2" s="11" t="s">
        <v>26</v>
      </c>
    </row>
    <row customHeight="true" ht="71" r="3">
      <c r="A3" s="12" t="s">
        <v>27</v>
      </c>
      <c r="B3" s="13" t="s">
        <v>28</v>
      </c>
      <c r="C3" s="14" t="s">
        <v>29</v>
      </c>
      <c r="D3" s="15" t="s">
        <v>30</v>
      </c>
      <c r="E3" s="16">
        <v>6000000</v>
      </c>
      <c r="F3" s="16">
        <v>3000000</v>
      </c>
      <c r="G3" s="16">
        <v>1000000</v>
      </c>
      <c r="H3" s="17" cm="1">
        <f t="array" ref="H3:H4">E3:E4</f>
      </c>
      <c r="I3" s="18">
        <f>SUM(E3:G4)</f>
      </c>
    </row>
    <row customHeight="true" ht="71" r="4">
      <c r="A4" s="12"/>
      <c r="B4" s="19" t="s">
        <v>31</v>
      </c>
      <c r="C4" s="20"/>
      <c r="D4" s="21"/>
      <c r="E4" s="22"/>
      <c r="F4" s="22"/>
      <c r="G4" s="16"/>
      <c r="H4" s="17" t="str"/>
      <c r="I4" s="18"/>
    </row>
    <row customHeight="true" ht="71" r="5">
      <c r="A5" s="12" t="s">
        <v>32</v>
      </c>
      <c r="B5" s="23" t="s">
        <v>33</v>
      </c>
      <c r="C5" s="14" t="s">
        <v>34</v>
      </c>
      <c r="D5" s="15" t="s">
        <v>35</v>
      </c>
      <c r="E5" s="16">
        <v>9000000</v>
      </c>
      <c r="F5" s="16">
        <v>3000000</v>
      </c>
      <c r="G5" s="16">
        <v>1000000</v>
      </c>
      <c r="H5" s="17" cm="1">
        <f t="array" ref="H5:H6">E5:E6</f>
      </c>
      <c r="I5" s="18">
        <f>SUM(E5:G6)</f>
      </c>
    </row>
    <row customHeight="true" ht="71" r="6">
      <c r="A6" s="24"/>
      <c r="B6" s="25" t="s">
        <v>31</v>
      </c>
      <c r="C6" s="20"/>
      <c r="D6" s="21"/>
      <c r="E6" s="22"/>
      <c r="F6" s="22"/>
      <c r="G6" s="22"/>
      <c r="H6" s="17" t="str"/>
      <c r="I6" s="18"/>
    </row>
    <row customHeight="true" ht="71" r="7">
      <c r="A7" s="26" t="s">
        <v>36</v>
      </c>
      <c r="B7" s="27" t="s">
        <v>37</v>
      </c>
      <c r="C7" s="14" t="s">
        <v>38</v>
      </c>
      <c r="D7" s="15" t="s">
        <v>39</v>
      </c>
      <c r="E7" s="16">
        <v>12000000</v>
      </c>
      <c r="F7" s="16">
        <v>3000000</v>
      </c>
      <c r="G7" s="16">
        <v>2000000</v>
      </c>
      <c r="H7" s="17" cm="1">
        <f t="array" ref="H7:H8">E7:E8</f>
      </c>
      <c r="I7" s="18">
        <f>SUM(E7:G8)</f>
      </c>
    </row>
    <row customHeight="true" ht="71" r="8">
      <c r="A8" s="26"/>
      <c r="B8" s="19" t="s">
        <v>40</v>
      </c>
      <c r="C8" s="20"/>
      <c r="D8" s="21"/>
      <c r="E8" s="22"/>
      <c r="F8" s="22"/>
      <c r="G8" s="22"/>
      <c r="H8" s="17" t="str"/>
      <c r="I8" s="18"/>
    </row>
    <row customHeight="true" ht="70" r="9">
      <c r="A9" s="26" t="s">
        <v>41</v>
      </c>
      <c r="B9" s="13" t="s">
        <v>42</v>
      </c>
      <c r="C9" s="14" t="s">
        <v>43</v>
      </c>
      <c r="D9" s="15" t="s">
        <v>44</v>
      </c>
      <c r="E9" s="16">
        <v>16000000</v>
      </c>
      <c r="F9" s="16">
        <v>3000000</v>
      </c>
      <c r="G9" s="16">
        <v>2000000</v>
      </c>
      <c r="H9" s="17" cm="1">
        <f t="array" ref="H9:H10">E9:E10</f>
      </c>
      <c r="I9" s="18">
        <f>SUM(E9:G10)</f>
      </c>
    </row>
    <row customHeight="true" ht="71" r="10">
      <c r="A10" s="26"/>
      <c r="B10" s="19" t="s">
        <v>45</v>
      </c>
      <c r="C10" s="20"/>
      <c r="D10" s="21"/>
      <c r="E10" s="22"/>
      <c r="F10" s="22"/>
      <c r="G10" s="22"/>
      <c r="H10" s="17" t="str"/>
      <c r="I10" s="18"/>
    </row>
    <row customHeight="true" ht="89" r="11">
      <c r="A11" s="26" t="s">
        <v>46</v>
      </c>
      <c r="B11" s="13" t="s">
        <v>47</v>
      </c>
      <c r="C11" s="14" t="s">
        <v>48</v>
      </c>
      <c r="D11" s="15" t="s">
        <v>49</v>
      </c>
      <c r="E11" s="16">
        <v>20000000</v>
      </c>
      <c r="F11" s="16">
        <v>4000000</v>
      </c>
      <c r="G11" s="16">
        <v>2000000</v>
      </c>
      <c r="H11" s="17" cm="1">
        <f t="array" ref="H11:H12">E11:E12</f>
      </c>
      <c r="I11" s="18">
        <f>SUM(E11:G12)</f>
      </c>
    </row>
    <row customHeight="true" ht="88" r="12">
      <c r="A12" s="26"/>
      <c r="B12" s="19" t="s">
        <v>50</v>
      </c>
      <c r="C12" s="20"/>
      <c r="D12" s="21"/>
      <c r="E12" s="22"/>
      <c r="F12" s="22"/>
      <c r="G12" s="22"/>
      <c r="H12" s="17" t="str"/>
      <c r="I12" s="18"/>
    </row>
    <row customHeight="true" ht="88" r="13">
      <c r="A13" s="28" t="s">
        <v>51</v>
      </c>
      <c r="B13" s="13" t="s">
        <v>52</v>
      </c>
      <c r="C13" s="29" t="s">
        <v>53</v>
      </c>
      <c r="D13" s="15" t="s">
        <v>54</v>
      </c>
      <c r="E13" s="16">
        <v>25000000</v>
      </c>
      <c r="F13" s="16">
        <v>4000000</v>
      </c>
      <c r="G13" s="16">
        <v>3000000</v>
      </c>
      <c r="H13" s="17" cm="1">
        <f t="array" ref="H13:H14">E13:E14</f>
      </c>
      <c r="I13" s="18">
        <f>SUM(E13:G14)</f>
      </c>
    </row>
    <row customHeight="true" ht="89" r="14">
      <c r="A14" s="28"/>
      <c r="B14" s="19" t="s">
        <v>55</v>
      </c>
      <c r="C14" s="20"/>
      <c r="D14" s="21"/>
      <c r="E14" s="22"/>
      <c r="F14" s="22"/>
      <c r="G14" s="22"/>
      <c r="H14" s="17" t="str"/>
      <c r="I14" s="18"/>
    </row>
    <row customHeight="true" ht="88" r="15">
      <c r="A15" s="30" t="s">
        <v>56</v>
      </c>
      <c r="B15" s="31" t="s">
        <v>57</v>
      </c>
      <c r="C15" s="14" t="s">
        <v>58</v>
      </c>
      <c r="D15" s="15" t="s">
        <v>59</v>
      </c>
      <c r="E15" s="16">
        <v>30000000</v>
      </c>
      <c r="F15" s="16">
        <v>5000000</v>
      </c>
      <c r="G15" s="16">
        <v>3000000</v>
      </c>
      <c r="H15" s="17" cm="1">
        <f t="array" ref="H15:H16">E15:E16</f>
      </c>
      <c r="I15" s="18">
        <f>SUM(E15:G16)</f>
      </c>
    </row>
    <row customHeight="true" ht="89" r="16">
      <c r="A16" s="28"/>
      <c r="B16" s="19" t="s">
        <v>60</v>
      </c>
      <c r="C16" s="32"/>
      <c r="D16" s="21"/>
      <c r="E16" s="22"/>
      <c r="F16" s="22"/>
      <c r="G16" s="22"/>
      <c r="H16" s="17" t="str"/>
      <c r="I16" s="18"/>
    </row>
    <row customHeight="true" ht="88" r="17">
      <c r="A17" s="30" t="s">
        <v>61</v>
      </c>
      <c r="B17" s="31" t="s">
        <v>57</v>
      </c>
      <c r="C17" s="14" t="s">
        <v>58</v>
      </c>
      <c r="D17" s="15" t="s">
        <v>59</v>
      </c>
      <c r="E17" s="16">
        <v>35000000</v>
      </c>
      <c r="F17" s="16">
        <v>6000000</v>
      </c>
      <c r="G17" s="16">
        <v>4000000</v>
      </c>
      <c r="H17" s="17" cm="1">
        <f t="array" ref="H17:H18">E17:E18</f>
      </c>
      <c r="I17" s="18">
        <f>SUM(E17:G18)</f>
      </c>
    </row>
    <row customHeight="true" ht="88" r="18">
      <c r="A18" s="30"/>
      <c r="B18" s="19" t="s">
        <v>60</v>
      </c>
      <c r="C18" s="14"/>
      <c r="D18" s="15"/>
      <c r="E18" s="16"/>
      <c r="F18" s="16"/>
      <c r="G18" s="16"/>
      <c r="H18" s="17" t="str"/>
      <c r="I18" s="18"/>
    </row>
  </sheetData>
  <mergeCells>
    <mergeCell ref="G15:G16"/>
    <mergeCell ref="G13:G14"/>
    <mergeCell ref="G11:G12"/>
    <mergeCell ref="G9:G10"/>
    <mergeCell ref="G7:G8"/>
    <mergeCell ref="G5:G6"/>
    <mergeCell ref="G3:G4"/>
    <mergeCell ref="D1:D2"/>
    <mergeCell ref="C1:C2"/>
    <mergeCell ref="B1:B2"/>
    <mergeCell ref="A1:A2"/>
    <mergeCell ref="E15:E16"/>
    <mergeCell ref="D15:D16"/>
    <mergeCell ref="E13:E14"/>
    <mergeCell ref="D13:D14"/>
    <mergeCell ref="E11:E12"/>
    <mergeCell ref="D11:D12"/>
    <mergeCell ref="E9:E10"/>
    <mergeCell ref="D9:D10"/>
    <mergeCell ref="E7:E8"/>
    <mergeCell ref="D7:D8"/>
    <mergeCell ref="E5:E6"/>
    <mergeCell ref="D5:D6"/>
    <mergeCell ref="E3:E4"/>
    <mergeCell ref="D3:D4"/>
    <mergeCell ref="A15:A16"/>
    <mergeCell ref="A13:A14"/>
    <mergeCell ref="A11:A12"/>
    <mergeCell ref="A9:A10"/>
    <mergeCell ref="A7:A8"/>
    <mergeCell ref="A5:A6"/>
    <mergeCell ref="A3:A4"/>
    <mergeCell ref="C3:C4"/>
    <mergeCell ref="C5:C6"/>
    <mergeCell ref="C7:C8"/>
    <mergeCell ref="C9:C10"/>
    <mergeCell ref="C11:C12"/>
    <mergeCell ref="C13:C14"/>
    <mergeCell ref="C15:C16"/>
    <mergeCell ref="F3:F4"/>
    <mergeCell ref="F5:F6"/>
    <mergeCell ref="F7:F8"/>
    <mergeCell ref="F9:F10"/>
    <mergeCell ref="F11:F12"/>
    <mergeCell ref="F13:F14"/>
    <mergeCell ref="F15:F16"/>
    <mergeCell ref="H3:H4"/>
    <mergeCell ref="H1:I1"/>
    <mergeCell ref="E1:G1"/>
    <mergeCell ref="I3:I4"/>
    <mergeCell ref="H5:H6"/>
    <mergeCell ref="H7:H8"/>
    <mergeCell ref="H9:H10"/>
    <mergeCell ref="H11:H12"/>
    <mergeCell ref="H13:H14"/>
    <mergeCell ref="H15:H16"/>
    <mergeCell ref="I5:I6"/>
    <mergeCell ref="I7:I8"/>
    <mergeCell ref="I9:I10"/>
    <mergeCell ref="I11:I12"/>
    <mergeCell ref="I13:I14"/>
    <mergeCell ref="I15:I16"/>
    <mergeCell ref="A17:A18"/>
    <mergeCell ref="C17:C18"/>
    <mergeCell ref="G17:G18"/>
    <mergeCell ref="E17:E18"/>
    <mergeCell ref="F17:F18"/>
    <mergeCell ref="H17:H18"/>
    <mergeCell ref="I17:I18"/>
    <mergeCell ref="D17:D18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3" min="3" style="0" width="30"/>
    <col collapsed="false" customWidth="true" hidden="false" max="4" min="4" style="0" width="11"/>
    <col collapsed="false" customWidth="true" hidden="false" max="5" min="5" style="0" width="19"/>
    <col collapsed="false" customWidth="true" hidden="false" max="1" min="1" style="0" width="20"/>
    <col collapsed="false" customWidth="true" hidden="false" max="2" min="2" style="0" width="18"/>
  </cols>
  <sheetData>
    <row r="1">
      <c r="A1" s="33" t="s">
        <v>62</v>
      </c>
      <c r="B1" s="33" t="s">
        <v>63</v>
      </c>
      <c r="C1" s="33" t="s">
        <v>64</v>
      </c>
      <c r="D1" s="33" t="s">
        <v>65</v>
      </c>
      <c r="E1" s="33" t="s">
        <v>66</v>
      </c>
    </row>
    <row r="2">
      <c r="A2" s="34" t="s">
        <v>67</v>
      </c>
      <c r="B2" s="35">
        <v>30</v>
      </c>
      <c r="C2" s="36" t="s">
        <v>68</v>
      </c>
      <c r="D2" s="36" t="s">
        <v>69</v>
      </c>
      <c r="E2" s="37"/>
    </row>
    <row r="3">
      <c r="A3" s="34"/>
      <c r="B3" s="38"/>
      <c r="C3" s="36" t="s">
        <v>70</v>
      </c>
      <c r="D3" s="36" t="s">
        <v>69</v>
      </c>
      <c r="E3" s="37"/>
    </row>
    <row r="4">
      <c r="A4" s="34"/>
      <c r="B4" s="38"/>
      <c r="C4" s="36" t="s">
        <v>71</v>
      </c>
      <c r="D4" s="36" t="s">
        <v>72</v>
      </c>
      <c r="E4" s="37"/>
    </row>
    <row customHeight="true" ht="16" r="5">
      <c r="A5" s="34"/>
      <c r="B5" s="38"/>
      <c r="C5" s="36" t="s">
        <v>73</v>
      </c>
      <c r="D5" s="36" t="s">
        <v>69</v>
      </c>
      <c r="E5" s="37"/>
    </row>
    <row customHeight="true" ht="16" r="6">
      <c r="A6" s="34"/>
      <c r="B6" s="38"/>
      <c r="C6" s="36" t="s">
        <v>74</v>
      </c>
      <c r="D6" s="36" t="s">
        <v>75</v>
      </c>
      <c r="E6" s="37"/>
    </row>
    <row r="7">
      <c r="A7" s="34" t="s">
        <v>76</v>
      </c>
      <c r="B7" s="35">
        <v>35</v>
      </c>
      <c r="C7" s="36" t="s">
        <v>77</v>
      </c>
      <c r="D7" s="36" t="s">
        <v>75</v>
      </c>
      <c r="E7" s="37"/>
    </row>
    <row r="8">
      <c r="A8" s="34"/>
      <c r="B8" s="38"/>
      <c r="C8" s="36" t="s">
        <v>78</v>
      </c>
      <c r="D8" s="36" t="s">
        <v>69</v>
      </c>
      <c r="E8" s="37"/>
    </row>
    <row r="9">
      <c r="A9" s="34"/>
      <c r="B9" s="38"/>
      <c r="C9" s="36" t="s">
        <v>79</v>
      </c>
      <c r="D9" s="36" t="s">
        <v>75</v>
      </c>
      <c r="E9" s="37"/>
    </row>
    <row customHeight="true" ht="16" r="10">
      <c r="A10" s="34"/>
      <c r="B10" s="38"/>
      <c r="C10" s="36" t="s">
        <v>74</v>
      </c>
      <c r="D10" s="36" t="s">
        <v>75</v>
      </c>
      <c r="E10" s="37"/>
    </row>
    <row r="11">
      <c r="A11" s="34" t="s">
        <v>80</v>
      </c>
      <c r="B11" s="35">
        <v>20</v>
      </c>
      <c r="C11" s="36" t="s">
        <v>81</v>
      </c>
      <c r="D11" s="36" t="s">
        <v>75</v>
      </c>
      <c r="E11" s="37"/>
    </row>
    <row r="12">
      <c r="A12" s="34"/>
      <c r="B12" s="38"/>
      <c r="C12" s="36" t="s">
        <v>82</v>
      </c>
      <c r="D12" s="36" t="s">
        <v>75</v>
      </c>
      <c r="E12" s="37"/>
    </row>
    <row r="13">
      <c r="A13" s="34"/>
      <c r="B13" s="38"/>
      <c r="C13" s="36" t="s">
        <v>83</v>
      </c>
      <c r="D13" s="36" t="s">
        <v>75</v>
      </c>
      <c r="E13" s="37"/>
    </row>
    <row r="14">
      <c r="A14" s="34" t="s">
        <v>84</v>
      </c>
      <c r="B14" s="35">
        <v>10</v>
      </c>
      <c r="C14" s="36" t="s">
        <v>85</v>
      </c>
      <c r="D14" s="36" t="s">
        <v>75</v>
      </c>
      <c r="E14" s="37"/>
    </row>
    <row r="15">
      <c r="A15" s="34"/>
      <c r="B15" s="38"/>
      <c r="C15" s="36" t="s">
        <v>86</v>
      </c>
      <c r="D15" s="36" t="s">
        <v>69</v>
      </c>
      <c r="E15" s="37"/>
    </row>
    <row r="16">
      <c r="A16" s="34"/>
      <c r="B16" s="38"/>
      <c r="C16" s="36" t="s">
        <v>87</v>
      </c>
      <c r="D16" s="36" t="s">
        <v>69</v>
      </c>
      <c r="E16" s="37"/>
    </row>
    <row r="17">
      <c r="A17" s="34" t="s">
        <v>88</v>
      </c>
      <c r="B17" s="35">
        <v>5</v>
      </c>
      <c r="C17" s="36" t="s">
        <v>89</v>
      </c>
      <c r="D17" s="36" t="s">
        <v>69</v>
      </c>
      <c r="E17" s="37"/>
    </row>
    <row r="18">
      <c r="A18" s="34"/>
      <c r="B18" s="38"/>
      <c r="C18" s="36" t="s">
        <v>90</v>
      </c>
      <c r="D18" s="36" t="s">
        <v>69</v>
      </c>
      <c r="E18" s="37"/>
    </row>
    <row r="19">
      <c r="A19" s="39"/>
      <c r="B19" s="40"/>
      <c r="C19" s="41" t="s">
        <v>91</v>
      </c>
      <c r="D19" s="36" t="s">
        <v>69</v>
      </c>
      <c r="E19" s="37"/>
    </row>
    <row r="20">
      <c r="A20" s="42" t="s">
        <v>92</v>
      </c>
      <c r="B20" s="43">
        <v>100</v>
      </c>
      <c r="C20" s="37"/>
      <c r="D20" s="37"/>
      <c r="E20" s="37"/>
    </row>
    <row customHeight="true" ht="16" r="21">
      <c r="A21" s="44"/>
      <c r="B21" s="44"/>
      <c r="C21" s="44"/>
      <c r="D21" s="44"/>
      <c r="E21" s="44"/>
    </row>
    <row r="22">
      <c r="A22" s="45" t="s">
        <v>93</v>
      </c>
      <c r="B22" s="45" t="s">
        <v>94</v>
      </c>
      <c r="C22" s="45" t="s">
        <v>95</v>
      </c>
      <c r="D22" s="45" t="s">
        <v>96</v>
      </c>
      <c r="E22" s="45" t="s">
        <v>97</v>
      </c>
    </row>
    <row r="23">
      <c r="A23" s="46" t="s">
        <v>98</v>
      </c>
      <c r="B23" s="47" t="s">
        <v>99</v>
      </c>
      <c r="C23" s="48" t="s">
        <v>100</v>
      </c>
      <c r="D23" s="48" t="s">
        <v>101</v>
      </c>
      <c r="E23" s="47" t="s">
        <v>102</v>
      </c>
    </row>
    <row customHeight="true" ht="16" r="24">
      <c r="A24" s="46"/>
      <c r="B24" s="49" t="s">
        <v>103</v>
      </c>
      <c r="C24" s="48"/>
      <c r="D24" s="48"/>
      <c r="E24" s="47"/>
    </row>
    <row r="25">
      <c r="A25" s="46" t="s">
        <v>104</v>
      </c>
      <c r="B25" s="47" t="s">
        <v>105</v>
      </c>
      <c r="C25" s="48" t="s">
        <v>106</v>
      </c>
      <c r="D25" s="48" t="s">
        <v>107</v>
      </c>
      <c r="E25" s="47" t="s">
        <v>108</v>
      </c>
    </row>
    <row customHeight="true" ht="16" r="26">
      <c r="A26" s="46"/>
      <c r="B26" s="50" t="s">
        <v>103</v>
      </c>
      <c r="C26" s="48"/>
      <c r="D26" s="48"/>
      <c r="E26" s="47"/>
    </row>
    <row r="27">
      <c r="A27" s="51" t="s">
        <v>109</v>
      </c>
      <c r="B27" s="47" t="s">
        <v>110</v>
      </c>
      <c r="C27" s="48" t="s">
        <v>111</v>
      </c>
      <c r="D27" s="48" t="s">
        <v>112</v>
      </c>
      <c r="E27" s="47" t="s">
        <v>113</v>
      </c>
    </row>
    <row customHeight="true" ht="16" r="28">
      <c r="A28" s="51"/>
      <c r="B28" s="49" t="s">
        <v>114</v>
      </c>
      <c r="C28" s="48"/>
      <c r="D28" s="48"/>
      <c r="E28" s="47"/>
    </row>
    <row r="29">
      <c r="A29" s="51" t="s">
        <v>115</v>
      </c>
      <c r="B29" s="47" t="s">
        <v>116</v>
      </c>
      <c r="C29" s="48" t="s">
        <v>117</v>
      </c>
      <c r="D29" s="48" t="s">
        <v>118</v>
      </c>
      <c r="E29" s="47" t="s">
        <v>119</v>
      </c>
    </row>
    <row customHeight="true" ht="16" r="30">
      <c r="A30" s="51"/>
      <c r="B30" s="49" t="s">
        <v>120</v>
      </c>
      <c r="C30" s="48"/>
      <c r="D30" s="48"/>
      <c r="E30" s="47"/>
    </row>
    <row r="31">
      <c r="A31" s="51" t="s">
        <v>121</v>
      </c>
      <c r="B31" s="47" t="s">
        <v>122</v>
      </c>
      <c r="C31" s="48" t="s">
        <v>123</v>
      </c>
      <c r="D31" s="48" t="s">
        <v>124</v>
      </c>
      <c r="E31" s="47" t="s">
        <v>125</v>
      </c>
    </row>
    <row r="32">
      <c r="A32" s="51"/>
      <c r="B32" s="49" t="s">
        <v>126</v>
      </c>
      <c r="C32" s="48"/>
      <c r="D32" s="48"/>
      <c r="E32" s="47"/>
    </row>
    <row r="33">
      <c r="A33" s="52" t="s">
        <v>127</v>
      </c>
      <c r="B33" s="47" t="s">
        <v>128</v>
      </c>
      <c r="C33" s="48" t="s">
        <v>129</v>
      </c>
      <c r="D33" s="48" t="s">
        <v>130</v>
      </c>
      <c r="E33" s="47" t="s">
        <v>131</v>
      </c>
    </row>
    <row r="34">
      <c r="A34" s="52"/>
      <c r="B34" s="49" t="s">
        <v>132</v>
      </c>
      <c r="C34" s="48"/>
      <c r="D34" s="48"/>
      <c r="E34" s="47"/>
    </row>
    <row r="35">
      <c r="A35" s="52" t="s">
        <v>133</v>
      </c>
      <c r="B35" s="47" t="s">
        <v>134</v>
      </c>
      <c r="C35" s="48" t="s">
        <v>135</v>
      </c>
      <c r="D35" s="48" t="s">
        <v>136</v>
      </c>
      <c r="E35" s="47" t="s">
        <v>137</v>
      </c>
    </row>
    <row customHeight="true" ht="16" r="36">
      <c r="A36" s="52"/>
      <c r="B36" s="49" t="s">
        <v>138</v>
      </c>
      <c r="C36" s="48"/>
      <c r="D36" s="48"/>
      <c r="E36" s="47"/>
    </row>
    <row r="37">
      <c r="A37" s="52" t="s">
        <v>139</v>
      </c>
      <c r="B37" s="47" t="s">
        <v>140</v>
      </c>
      <c r="C37" s="48" t="s">
        <v>141</v>
      </c>
      <c r="D37" s="48" t="s">
        <v>142</v>
      </c>
      <c r="E37" s="53" t="s">
        <v>143</v>
      </c>
    </row>
    <row customHeight="true" ht="16" r="38">
      <c r="A38" s="52"/>
      <c r="B38" s="48"/>
      <c r="C38" s="48"/>
      <c r="D38" s="48"/>
      <c r="E38" s="53"/>
    </row>
  </sheetData>
  <mergeCells>
    <mergeCell ref="E7:E10"/>
    <mergeCell ref="E2:E6"/>
    <mergeCell ref="B7:B10"/>
    <mergeCell ref="A7:A10"/>
    <mergeCell ref="A2:A6"/>
    <mergeCell ref="B2:B6"/>
    <mergeCell ref="E17:E19"/>
    <mergeCell ref="E11:E13"/>
    <mergeCell ref="E14:E16"/>
    <mergeCell ref="E37:E38"/>
    <mergeCell ref="D37:D38"/>
    <mergeCell ref="E35:E36"/>
    <mergeCell ref="D35:D36"/>
    <mergeCell ref="E33:E34"/>
    <mergeCell ref="D33:D34"/>
    <mergeCell ref="E31:E32"/>
    <mergeCell ref="D31:D32"/>
    <mergeCell ref="E29:E30"/>
    <mergeCell ref="D29:D30"/>
    <mergeCell ref="E27:E28"/>
    <mergeCell ref="D27:D28"/>
    <mergeCell ref="E25:E26"/>
    <mergeCell ref="D25:D26"/>
    <mergeCell ref="E23:E24"/>
    <mergeCell ref="D23:D24"/>
    <mergeCell ref="C37:C38"/>
    <mergeCell ref="C35:C36"/>
    <mergeCell ref="C33:C34"/>
    <mergeCell ref="C31:C32"/>
    <mergeCell ref="C29:C30"/>
    <mergeCell ref="C27:C28"/>
    <mergeCell ref="C25:C26"/>
    <mergeCell ref="C23:C24"/>
    <mergeCell ref="A37:A38"/>
    <mergeCell ref="A35:A36"/>
    <mergeCell ref="A33:A34"/>
    <mergeCell ref="A31:A32"/>
    <mergeCell ref="A29:A30"/>
    <mergeCell ref="A27:A28"/>
    <mergeCell ref="A25:A26"/>
    <mergeCell ref="A23:A24"/>
    <mergeCell ref="C20:E20"/>
    <mergeCell ref="A11:A13"/>
    <mergeCell ref="B11:B13"/>
    <mergeCell ref="A14:A16"/>
    <mergeCell ref="B14:B16"/>
    <mergeCell ref="A17:A19"/>
    <mergeCell ref="B17:B19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54" t="s">
        <v>144</v>
      </c>
      <c r="B1" s="54" t="s">
        <v>145</v>
      </c>
      <c r="C1" s="54" t="s">
        <v>146</v>
      </c>
      <c r="D1" s="54" t="s">
        <v>147</v>
      </c>
      <c r="E1" s="54" t="s">
        <v>148</v>
      </c>
      <c r="F1" s="54" t="s">
        <v>149</v>
      </c>
    </row>
    <row r="2">
      <c r="A2" s="55" t="s">
        <v>150</v>
      </c>
      <c r="B2" s="56" t="s">
        <v>151</v>
      </c>
      <c r="C2" s="56" t="s">
        <v>152</v>
      </c>
      <c r="D2" s="56" t="s">
        <v>153</v>
      </c>
      <c r="E2" s="56" t="s">
        <v>154</v>
      </c>
      <c r="F2" s="56" t="s">
        <v>155</v>
      </c>
    </row>
    <row r="3">
      <c r="A3" s="55" t="s">
        <v>156</v>
      </c>
      <c r="B3" s="56" t="s">
        <v>157</v>
      </c>
      <c r="C3" s="56" t="s">
        <v>158</v>
      </c>
      <c r="D3" s="56" t="s">
        <v>159</v>
      </c>
      <c r="E3" s="56" t="s">
        <v>160</v>
      </c>
      <c r="F3" s="56" t="s">
        <v>161</v>
      </c>
    </row>
    <row r="4">
      <c r="A4" s="55" t="s">
        <v>162</v>
      </c>
      <c r="B4" s="56" t="s">
        <v>163</v>
      </c>
      <c r="C4" s="56" t="s">
        <v>164</v>
      </c>
      <c r="D4" s="56" t="s">
        <v>165</v>
      </c>
      <c r="E4" s="56" t="s">
        <v>158</v>
      </c>
      <c r="F4" s="56" t="s">
        <v>166</v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